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laedudo-my.sharepoint.com/personal/20251625_itla_edu_do/Documents/"/>
    </mc:Choice>
  </mc:AlternateContent>
  <xr:revisionPtr revIDLastSave="284" documentId="8_{E4240489-3D6C-47F0-BB57-D21B8148C0CB}" xr6:coauthVersionLast="47" xr6:coauthVersionMax="47" xr10:uidLastSave="{F67979F1-F456-4BBE-846A-8591CC53E8AE}"/>
  <bookViews>
    <workbookView xWindow="-108" yWindow="-108" windowWidth="23256" windowHeight="12456" firstSheet="4" activeTab="7" xr2:uid="{3F94994F-E597-4E9A-ACB9-6B7D7555824C}"/>
  </bookViews>
  <sheets>
    <sheet name="Comparativa" sheetId="1" r:id="rId1"/>
    <sheet name="Cotizador de planes" sheetId="2" r:id="rId2"/>
    <sheet name="Matriz de cobertura" sheetId="3" r:id="rId3"/>
    <sheet name="Cotizador por modelos" sheetId="4" r:id="rId4"/>
    <sheet name="Facturación por Usuario" sheetId="5" r:id="rId5"/>
    <sheet name="Catálogo de Cotizaciones " sheetId="6" r:id="rId6"/>
    <sheet name="Inversión Inicia" sheetId="7" r:id="rId7"/>
    <sheet name="Costos Recurrentes Adicionales 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7" l="1"/>
  <c r="C11" i="4"/>
  <c r="B11" i="4"/>
  <c r="F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Franchesca Soto Abreu</author>
  </authors>
  <commentList>
    <comment ref="G7" authorId="0" shapeId="0" xr:uid="{BA5E8097-654E-49B8-9E5E-0FD25CA88573}">
      <text>
        <r>
          <rPr>
            <b/>
            <sz val="9"/>
            <color indexed="81"/>
            <rFont val="Tahoma"/>
            <family val="2"/>
          </rPr>
          <t>Franchesca Soto Abreu: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<sst xmlns="http://schemas.openxmlformats.org/spreadsheetml/2006/main" count="184" uniqueCount="157">
  <si>
    <t>Plan</t>
  </si>
  <si>
    <t>Enfoque Principal</t>
  </si>
  <si>
    <t>Rango Mensual (USD)</t>
  </si>
  <si>
    <t>Perfil de Cliente Ideal</t>
  </si>
  <si>
    <t>Empleados</t>
  </si>
  <si>
    <t>AEGIS Core</t>
  </si>
  <si>
    <t>Red + Soporte TI</t>
  </si>
  <si>
    <t>$4,000 – $7,500</t>
  </si>
  <si>
    <t>Retail, manufactura, logística</t>
  </si>
  <si>
    <t>50 – 200</t>
  </si>
  <si>
    <t>AEGIS Shield</t>
  </si>
  <si>
    <t>SOC 24/7 + Infraestructura</t>
  </si>
  <si>
    <t>$9,000 – $18,000</t>
  </si>
  <si>
    <t>Salud, fintech, banca, gobierno</t>
  </si>
  <si>
    <t>100 – 500</t>
  </si>
  <si>
    <t>AEGIS Fortress</t>
  </si>
  <si>
    <t>Ciberseguridad Integral</t>
  </si>
  <si>
    <t>$22,000 – $35,000+</t>
  </si>
  <si>
    <t>Corporativos, banca, data centers</t>
  </si>
  <si>
    <t>300 – 1,000+</t>
  </si>
  <si>
    <t>Concepto de Costo</t>
  </si>
  <si>
    <t>Depto. Interno Min ($)</t>
  </si>
  <si>
    <t>Depto. Interno Max ($)</t>
  </si>
  <si>
    <t>AEGIS Fortress Min ($)</t>
  </si>
  <si>
    <t>AEGIS Fortress Max ($)</t>
  </si>
  <si>
    <t>Ahorro Anual Estimado ($)</t>
  </si>
  <si>
    <t>% Ahorro Estimado</t>
  </si>
  <si>
    <t>Salarios y Beneficios (15–20 personas)</t>
  </si>
  <si>
    <t>Stack de Herramientas (SIEM, EDR, SOAR)</t>
  </si>
  <si>
    <t>Capacitación y Certificaciones Continuas</t>
  </si>
  <si>
    <t>Costos de Reclutamiento y Rotación</t>
  </si>
  <si>
    <t>Cuota Integral Anual AEGIS Fortress</t>
  </si>
  <si>
    <t>TOTAL COSTO ANUAL ESTIMADO</t>
  </si>
  <si>
    <t>65.0% – 83.2%</t>
  </si>
  <si>
    <t>Segmento / Empleados</t>
  </si>
  <si>
    <t>Precio Mensual Min (USD)</t>
  </si>
  <si>
    <t>Precio Mensual Max (USD)</t>
  </si>
  <si>
    <t>Anual (-15%) Mensual</t>
  </si>
  <si>
    <t>Contrato 3 Años (-25%)</t>
  </si>
  <si>
    <t>Contrato Mínimo</t>
  </si>
  <si>
    <t>Red + Soporte TI L1/L2</t>
  </si>
  <si>
    <t>50–200 (Retail, manufactura)</t>
  </si>
  <si>
    <t>12 meses</t>
  </si>
  <si>
    <t>SOC 24/7 + EDR + DFIR</t>
  </si>
  <si>
    <t>100–500 (Salud, finanzas)</t>
  </si>
  <si>
    <t>Suite Total + Red Team + vCISO</t>
  </si>
  <si>
    <t>300–1000+ (Bancos, corporativos)</t>
  </si>
  <si>
    <t>24 meses</t>
  </si>
  <si>
    <t>Tipo de Activo</t>
  </si>
  <si>
    <t>Costo Unit. Min (USD)</t>
  </si>
  <si>
    <t>Costo Unit. Max (USD)</t>
  </si>
  <si>
    <t>Subtotal Min / Mes</t>
  </si>
  <si>
    <t>Subtotal Max / Mes</t>
  </si>
  <si>
    <t>Endpoint estándar (Laptop / Desktop)</t>
  </si>
  <si>
    <t>Servidor (Físico / Virtual / Cloud)</t>
  </si>
  <si>
    <t>Dispositivo de red (Switch / Router / FW)</t>
  </si>
  <si>
    <t>Dispositivo móvil (MDM / BYOD)</t>
  </si>
  <si>
    <t>TOTAL FACTURACIÓN MENSUAL</t>
  </si>
  <si>
    <t>—</t>
  </si>
  <si>
    <t>275 Activos</t>
  </si>
  <si>
    <t xml:space="preserve">Cantidad Base </t>
  </si>
  <si>
    <t>Nivel de Servicio por Usuario</t>
  </si>
  <si>
    <t>Nivel 1: Monitoreo Básico + EDR</t>
  </si>
  <si>
    <t>Nivel 2: SOC 24/7 + Respuesta a Incidentes</t>
  </si>
  <si>
    <t>Nivel 3: Suite Completa (SOC + Red Team + vCISO)</t>
  </si>
  <si>
    <t xml:space="preserve">Usuarios </t>
  </si>
  <si>
    <t>Categoría</t>
  </si>
  <si>
    <t>Servicio Específico</t>
  </si>
  <si>
    <t>Duración Estimada</t>
  </si>
  <si>
    <t>Tarifa Min (USD)</t>
  </si>
  <si>
    <t>Tarifa Max (USD)</t>
  </si>
  <si>
    <t>Modalidad</t>
  </si>
  <si>
    <t>Auditoría Ofensiva</t>
  </si>
  <si>
    <t>Pentesting Completo (Web + Red)</t>
  </si>
  <si>
    <t>2–4 semanas</t>
  </si>
  <si>
    <t>Por Proyecto</t>
  </si>
  <si>
    <t>Auditoría Red Team (APT Simulación)</t>
  </si>
  <si>
    <t>3–6 semanas</t>
  </si>
  <si>
    <t>Revisión de Código Seguro (SAST/DAST)</t>
  </si>
  <si>
    <t>1–3 semanas</t>
  </si>
  <si>
    <t>Evaluación de Madurez (NIST/CIS/ISO)</t>
  </si>
  <si>
    <t>2–3 semanas</t>
  </si>
  <si>
    <t>Consultoría GRC</t>
  </si>
  <si>
    <t>Consultoría ISO 27001</t>
  </si>
  <si>
    <t>2–4 meses</t>
  </si>
  <si>
    <t>Consultoría HIPAA</t>
  </si>
  <si>
    <t>2–3 meses</t>
  </si>
  <si>
    <t>Consultoría PCI-DSS</t>
  </si>
  <si>
    <t>3–5 meses</t>
  </si>
  <si>
    <t>Diseño de Políticas y Plan IRP</t>
  </si>
  <si>
    <t>1–2 meses</t>
  </si>
  <si>
    <t>Respuesta a Incidentes</t>
  </si>
  <si>
    <t>IR Emergencia (No Suscriptor)</t>
  </si>
  <si>
    <t>SLA &lt; 2 horas</t>
  </si>
  <si>
    <t>Por Hora</t>
  </si>
  <si>
    <t>IR Emergencia (Suscriptor Core/Shield)</t>
  </si>
  <si>
    <t>SLA &lt; 1 hora</t>
  </si>
  <si>
    <t>Retainer Anual de IR (80 horas)</t>
  </si>
  <si>
    <t>Prioridad 24/7</t>
  </si>
  <si>
    <t>Bolsa Anual</t>
  </si>
  <si>
    <t>Componente</t>
  </si>
  <si>
    <t>Especificación Técnica</t>
  </si>
  <si>
    <t>Cantidad</t>
  </si>
  <si>
    <t>Costo Min (USD)</t>
  </si>
  <si>
    <t>Costo Max (USD)</t>
  </si>
  <si>
    <t>Servidor Central</t>
  </si>
  <si>
    <t>Dell PowerEdge R750 (2x Xeon Gold, 256GB RAM, SAS RAID)</t>
  </si>
  <si>
    <t>Firewall Central</t>
  </si>
  <si>
    <t>Fortinet FG-100F / Palo Alto PA-450 (Licencia 3 años UTM)</t>
  </si>
  <si>
    <t>Firewalls Sucursales</t>
  </si>
  <si>
    <t>Fortinet FG-40F con Licencia UTM 3 años</t>
  </si>
  <si>
    <t>Switching Core</t>
  </si>
  <si>
    <t>Cisco Catalyst 9300-48T (L3, OSPF, StackWise)</t>
  </si>
  <si>
    <t>Switching Sucursales</t>
  </si>
  <si>
    <t>Cisco Catalyst 1000-24T o Aruba CX 6100</t>
  </si>
  <si>
    <t>Access Points</t>
  </si>
  <si>
    <t>Cisco Meraki MR36 o Aruba AP-515</t>
  </si>
  <si>
    <t>Licenciamiento EDR (Año 1)</t>
  </si>
  <si>
    <t>CrowdStrike / SentinelOne (200 endpoints)</t>
  </si>
  <si>
    <t>Licenciamiento SIEM (Año 1)</t>
  </si>
  <si>
    <t>Microsoft Sentinel / Splunk Cloud (~50GB/día)</t>
  </si>
  <si>
    <t>Implementación de Red</t>
  </si>
  <si>
    <t>Diseño, configuración OSPF/IPsec y comisionamiento</t>
  </si>
  <si>
    <t>Onboarding de Seguridad</t>
  </si>
  <si>
    <t>Configuración SIEM, tuning de reglas y despliegue EDR</t>
  </si>
  <si>
    <t>TOTAL CAPEX INICIAL</t>
  </si>
  <si>
    <t>Concepto</t>
  </si>
  <si>
    <t>Detalle del Costo</t>
  </si>
  <si>
    <t>Costo Min / Mes (USD)</t>
  </si>
  <si>
    <t>Costo Max / Mes (USD)</t>
  </si>
  <si>
    <t>Licencias de Firewall</t>
  </si>
  <si>
    <t>Renovación anual de firmas y UTM (amortizado)</t>
  </si>
  <si>
    <t>Licencias Cloud APs</t>
  </si>
  <si>
    <t>Gestión cloud Meraki / Aruba Central</t>
  </si>
  <si>
    <t>Ingesta de Logs SIEM</t>
  </si>
  <si>
    <t>Almacenamiento y retención continua</t>
  </si>
  <si>
    <t>Suscripción EDR Endpoints</t>
  </si>
  <si>
    <t>Renovación de agentes y soporte</t>
  </si>
  <si>
    <t>TOTAL OPEX RECURRENTE</t>
  </si>
  <si>
    <t>$1,700 / mes</t>
  </si>
  <si>
    <t>$2,800 / mes</t>
  </si>
  <si>
    <t>Costos Recurrentes Adicionales (OPEX Mensual)</t>
  </si>
  <si>
    <t>Inversión Inicial (CAPEX)</t>
  </si>
  <si>
    <t>Catálogo de Cotizaciones On-Demand</t>
  </si>
  <si>
    <t xml:space="preserve">Cotizadores por Modelos Variables (Endpoint y Usuario)
</t>
  </si>
  <si>
    <t>Matriz de Cobertura y Entregables por Plan</t>
  </si>
  <si>
    <t>Comparativa de Retorno de Inversión (ROI) y Costos Anuales</t>
  </si>
  <si>
    <t>Cotizador de Planes de Suscripción Mensual (Opción A)</t>
  </si>
  <si>
    <t>Despliegue de Infraestructura Base: CAPEX</t>
  </si>
  <si>
    <t>*Precio en dólares</t>
  </si>
  <si>
    <t xml:space="preserve"> Facturación por Usuario (Cloud / SaaS)</t>
  </si>
  <si>
    <t>$300 / hora</t>
  </si>
  <si>
    <t>$150 / hora</t>
  </si>
  <si>
    <t>$500 / hora</t>
  </si>
  <si>
    <t>$250 / hora</t>
  </si>
  <si>
    <t>$18,000 / año</t>
  </si>
  <si>
    <t>$25,000 /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</si>
</sst>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8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Fill="1"/>
    <xf numFmtId="6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168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0C07-C7C4-4D7C-835C-43CEB75D36BC}">
  <dimension ref="A1:E8"/>
  <sheetViews>
    <sheetView workbookViewId="0">
      <selection activeCell="D11" sqref="D11"/>
    </sheetView>
  </sheetViews>
  <sheetFormatPr baseColWidth="10" defaultRowHeight="14.4" x14ac:dyDescent="0.3"/>
  <cols>
    <col min="1" max="1" width="11.5546875" customWidth="1"/>
    <col min="2" max="2" width="21.77734375" customWidth="1"/>
    <col min="3" max="3" width="18.109375" customWidth="1"/>
    <col min="4" max="4" width="28.77734375" customWidth="1"/>
  </cols>
  <sheetData>
    <row r="1" spans="1:5" x14ac:dyDescent="0.3">
      <c r="D1" s="5"/>
      <c r="E1" s="5">
        <v>46249</v>
      </c>
    </row>
    <row r="2" spans="1:5" x14ac:dyDescent="0.3">
      <c r="A2" t="s">
        <v>146</v>
      </c>
    </row>
    <row r="5" spans="1:5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x14ac:dyDescent="0.3">
      <c r="A6" t="s">
        <v>5</v>
      </c>
      <c r="B6" t="s">
        <v>6</v>
      </c>
      <c r="C6" t="s">
        <v>7</v>
      </c>
      <c r="D6" t="s">
        <v>8</v>
      </c>
      <c r="E6" s="10" t="s">
        <v>9</v>
      </c>
    </row>
    <row r="7" spans="1:5" x14ac:dyDescent="0.3">
      <c r="A7" t="s">
        <v>10</v>
      </c>
      <c r="B7" t="s">
        <v>11</v>
      </c>
      <c r="C7" t="s">
        <v>12</v>
      </c>
      <c r="D7" t="s">
        <v>13</v>
      </c>
      <c r="E7" s="10" t="s">
        <v>14</v>
      </c>
    </row>
    <row r="8" spans="1:5" x14ac:dyDescent="0.3">
      <c r="A8" t="s">
        <v>15</v>
      </c>
      <c r="B8" t="s">
        <v>16</v>
      </c>
      <c r="C8" t="s">
        <v>17</v>
      </c>
      <c r="D8" t="s">
        <v>18</v>
      </c>
      <c r="E8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FA31-AF3D-413A-A34B-5CEC3005F73B}">
  <dimension ref="A1:G14"/>
  <sheetViews>
    <sheetView workbookViewId="0">
      <selection activeCell="G1" sqref="G1"/>
    </sheetView>
  </sheetViews>
  <sheetFormatPr baseColWidth="10" defaultRowHeight="14.4" x14ac:dyDescent="0.3"/>
  <cols>
    <col min="1" max="1" width="34.33203125" customWidth="1"/>
    <col min="2" max="2" width="18.77734375" customWidth="1"/>
    <col min="3" max="3" width="17.88671875" customWidth="1"/>
    <col min="4" max="4" width="18.77734375" customWidth="1"/>
    <col min="5" max="5" width="19.21875" customWidth="1"/>
    <col min="6" max="6" width="21.109375" customWidth="1"/>
    <col min="7" max="7" width="17" customWidth="1"/>
  </cols>
  <sheetData>
    <row r="1" spans="1:7" x14ac:dyDescent="0.3">
      <c r="E1" s="5"/>
      <c r="G1" s="5">
        <v>46249</v>
      </c>
    </row>
    <row r="3" spans="1:7" x14ac:dyDescent="0.3">
      <c r="A3" t="s">
        <v>147</v>
      </c>
    </row>
    <row r="6" spans="1:7" x14ac:dyDescent="0.3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</row>
    <row r="7" spans="1:7" x14ac:dyDescent="0.3">
      <c r="A7" s="2" t="s">
        <v>27</v>
      </c>
      <c r="B7" s="8">
        <v>900000</v>
      </c>
      <c r="C7" s="8">
        <v>1800000</v>
      </c>
      <c r="D7" s="8">
        <v>0</v>
      </c>
      <c r="E7" s="8">
        <v>0</v>
      </c>
      <c r="F7" s="8">
        <v>900000</v>
      </c>
      <c r="G7" s="9">
        <v>0.01</v>
      </c>
    </row>
    <row r="8" spans="1:7" x14ac:dyDescent="0.3">
      <c r="A8" s="2" t="s">
        <v>28</v>
      </c>
      <c r="B8" s="8">
        <v>200000</v>
      </c>
      <c r="C8" s="8">
        <v>500000</v>
      </c>
      <c r="D8" s="8">
        <v>0</v>
      </c>
      <c r="E8" s="8">
        <v>0</v>
      </c>
      <c r="F8" s="8">
        <v>200000</v>
      </c>
      <c r="G8" s="9">
        <v>0.01</v>
      </c>
    </row>
    <row r="9" spans="1:7" x14ac:dyDescent="0.3">
      <c r="A9" s="2" t="s">
        <v>29</v>
      </c>
      <c r="B9" s="8">
        <v>50000</v>
      </c>
      <c r="C9" s="8">
        <v>100000</v>
      </c>
      <c r="D9" s="8">
        <v>0</v>
      </c>
      <c r="E9" s="8">
        <v>0</v>
      </c>
      <c r="F9" s="8">
        <v>50000</v>
      </c>
      <c r="G9" s="9">
        <v>0.01</v>
      </c>
    </row>
    <row r="10" spans="1:7" x14ac:dyDescent="0.3">
      <c r="A10" s="2" t="s">
        <v>30</v>
      </c>
      <c r="B10" s="8">
        <v>50000</v>
      </c>
      <c r="C10" s="8">
        <v>100000</v>
      </c>
      <c r="D10" s="8">
        <v>0</v>
      </c>
      <c r="E10" s="8">
        <v>0</v>
      </c>
      <c r="F10" s="8">
        <v>50000</v>
      </c>
      <c r="G10" s="9">
        <v>0.01</v>
      </c>
    </row>
    <row r="11" spans="1:7" x14ac:dyDescent="0.3">
      <c r="A11" s="2" t="s">
        <v>31</v>
      </c>
      <c r="B11" s="8">
        <v>0</v>
      </c>
      <c r="C11" s="8">
        <v>0</v>
      </c>
      <c r="D11" s="8">
        <v>264000</v>
      </c>
      <c r="E11" s="8">
        <v>420000</v>
      </c>
      <c r="F11" s="8">
        <v>264000</v>
      </c>
      <c r="G11" s="9"/>
    </row>
    <row r="12" spans="1:7" x14ac:dyDescent="0.3">
      <c r="A12" s="2" t="s">
        <v>32</v>
      </c>
      <c r="B12" s="8">
        <v>1200000</v>
      </c>
      <c r="C12" s="8">
        <v>2500000</v>
      </c>
      <c r="D12" s="8">
        <v>264000</v>
      </c>
      <c r="E12" s="8">
        <v>420000</v>
      </c>
      <c r="F12" s="8">
        <f>SUM(F7:F11)</f>
        <v>1464000</v>
      </c>
      <c r="G12" s="6" t="s">
        <v>33</v>
      </c>
    </row>
    <row r="14" spans="1:7" x14ac:dyDescent="0.3">
      <c r="A14" s="7" t="s">
        <v>149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C949-ED41-4E00-B679-8978259969C5}">
  <dimension ref="A1:H9"/>
  <sheetViews>
    <sheetView workbookViewId="0">
      <selection activeCell="C15" sqref="C15"/>
    </sheetView>
  </sheetViews>
  <sheetFormatPr baseColWidth="10" defaultRowHeight="14.4" x14ac:dyDescent="0.3"/>
  <cols>
    <col min="1" max="1" width="15.33203125" customWidth="1"/>
    <col min="2" max="2" width="25.44140625" customWidth="1"/>
    <col min="3" max="3" width="28.44140625" customWidth="1"/>
    <col min="4" max="4" width="21.33203125" customWidth="1"/>
    <col min="5" max="5" width="22.33203125" customWidth="1"/>
    <col min="6" max="6" width="19.5546875" customWidth="1"/>
    <col min="7" max="7" width="19.109375" customWidth="1"/>
    <col min="8" max="8" width="15.6640625" customWidth="1"/>
  </cols>
  <sheetData>
    <row r="1" spans="1:8" x14ac:dyDescent="0.3">
      <c r="F1" s="5"/>
      <c r="H1" s="5">
        <v>46249</v>
      </c>
    </row>
    <row r="3" spans="1:8" x14ac:dyDescent="0.3">
      <c r="A3" t="s">
        <v>145</v>
      </c>
    </row>
    <row r="6" spans="1:8" x14ac:dyDescent="0.3">
      <c r="A6" s="1" t="s">
        <v>0</v>
      </c>
      <c r="B6" s="1" t="s">
        <v>1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</row>
    <row r="7" spans="1:8" x14ac:dyDescent="0.3">
      <c r="A7" t="s">
        <v>5</v>
      </c>
      <c r="B7" t="s">
        <v>40</v>
      </c>
      <c r="C7" s="11" t="s">
        <v>41</v>
      </c>
      <c r="D7" s="8">
        <v>4000</v>
      </c>
      <c r="E7" s="8">
        <v>7500</v>
      </c>
      <c r="F7" s="8">
        <v>3400</v>
      </c>
      <c r="G7" s="8">
        <v>3000</v>
      </c>
      <c r="H7" s="10" t="s">
        <v>42</v>
      </c>
    </row>
    <row r="8" spans="1:8" x14ac:dyDescent="0.3">
      <c r="A8" t="s">
        <v>10</v>
      </c>
      <c r="B8" t="s">
        <v>43</v>
      </c>
      <c r="C8" s="11" t="s">
        <v>44</v>
      </c>
      <c r="D8" s="8">
        <v>9000</v>
      </c>
      <c r="E8" s="8">
        <v>18000</v>
      </c>
      <c r="F8" s="8">
        <v>7650</v>
      </c>
      <c r="G8" s="8">
        <v>6750</v>
      </c>
      <c r="H8" s="10" t="s">
        <v>42</v>
      </c>
    </row>
    <row r="9" spans="1:8" x14ac:dyDescent="0.3">
      <c r="A9" t="s">
        <v>15</v>
      </c>
      <c r="B9" t="s">
        <v>45</v>
      </c>
      <c r="C9" s="11" t="s">
        <v>46</v>
      </c>
      <c r="D9" s="8">
        <v>22000</v>
      </c>
      <c r="E9" s="8">
        <v>35000</v>
      </c>
      <c r="F9" s="8">
        <v>18700</v>
      </c>
      <c r="G9" s="8">
        <v>16500</v>
      </c>
      <c r="H9" s="1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EC8C-F136-4F3A-842A-BED97268CB9D}">
  <dimension ref="A1:F12"/>
  <sheetViews>
    <sheetView workbookViewId="0">
      <selection activeCell="B15" sqref="B15"/>
    </sheetView>
  </sheetViews>
  <sheetFormatPr baseColWidth="10" defaultRowHeight="14.4" x14ac:dyDescent="0.3"/>
  <cols>
    <col min="1" max="1" width="31.44140625" customWidth="1"/>
    <col min="2" max="2" width="17.88671875" customWidth="1"/>
    <col min="3" max="3" width="18.21875" customWidth="1"/>
    <col min="4" max="4" width="12.77734375" customWidth="1"/>
    <col min="5" max="5" width="15.77734375" customWidth="1"/>
    <col min="6" max="6" width="15.88671875" customWidth="1"/>
  </cols>
  <sheetData>
    <row r="1" spans="1:6" x14ac:dyDescent="0.3">
      <c r="F1" s="5">
        <v>46249</v>
      </c>
    </row>
    <row r="2" spans="1:6" x14ac:dyDescent="0.3">
      <c r="E2" s="5"/>
    </row>
    <row r="3" spans="1:6" ht="43.2" x14ac:dyDescent="0.3">
      <c r="A3" s="4" t="s">
        <v>144</v>
      </c>
    </row>
    <row r="6" spans="1:6" x14ac:dyDescent="0.3">
      <c r="A6" s="1" t="s">
        <v>48</v>
      </c>
      <c r="B6" s="1" t="s">
        <v>49</v>
      </c>
      <c r="C6" s="1" t="s">
        <v>50</v>
      </c>
      <c r="D6" s="1" t="s">
        <v>60</v>
      </c>
      <c r="E6" s="1" t="s">
        <v>51</v>
      </c>
      <c r="F6" s="1" t="s">
        <v>52</v>
      </c>
    </row>
    <row r="7" spans="1:6" x14ac:dyDescent="0.3">
      <c r="A7" t="s">
        <v>53</v>
      </c>
      <c r="B7" s="8">
        <v>12</v>
      </c>
      <c r="C7" s="8">
        <v>25</v>
      </c>
      <c r="D7">
        <v>200</v>
      </c>
      <c r="E7" s="8">
        <v>2400</v>
      </c>
      <c r="F7" s="8">
        <v>5000</v>
      </c>
    </row>
    <row r="8" spans="1:6" x14ac:dyDescent="0.3">
      <c r="A8" t="s">
        <v>54</v>
      </c>
      <c r="B8" s="8">
        <v>30</v>
      </c>
      <c r="C8" s="8">
        <v>50</v>
      </c>
      <c r="D8">
        <v>15</v>
      </c>
      <c r="E8" s="8">
        <v>450</v>
      </c>
      <c r="F8" s="8">
        <v>750</v>
      </c>
    </row>
    <row r="9" spans="1:6" x14ac:dyDescent="0.3">
      <c r="A9" t="s">
        <v>55</v>
      </c>
      <c r="B9" s="8">
        <v>20</v>
      </c>
      <c r="C9" s="8">
        <v>40</v>
      </c>
      <c r="D9">
        <v>10</v>
      </c>
      <c r="E9" s="8">
        <v>200</v>
      </c>
      <c r="F9" s="8">
        <v>400</v>
      </c>
    </row>
    <row r="10" spans="1:6" x14ac:dyDescent="0.3">
      <c r="A10" t="s">
        <v>56</v>
      </c>
      <c r="B10" s="8">
        <v>8</v>
      </c>
      <c r="C10" s="8">
        <v>15</v>
      </c>
      <c r="D10">
        <v>50</v>
      </c>
      <c r="E10" s="8">
        <v>400</v>
      </c>
      <c r="F10" s="8">
        <v>750</v>
      </c>
    </row>
    <row r="11" spans="1:6" x14ac:dyDescent="0.3">
      <c r="A11" s="2" t="s">
        <v>57</v>
      </c>
      <c r="B11" s="8">
        <f>SUM(B7:B10)</f>
        <v>70</v>
      </c>
      <c r="C11" s="8">
        <f>SUM(C7:C10)</f>
        <v>130</v>
      </c>
      <c r="D11" s="10" t="s">
        <v>59</v>
      </c>
      <c r="E11" s="3">
        <v>3450</v>
      </c>
      <c r="F11" s="3">
        <v>6900</v>
      </c>
    </row>
    <row r="12" spans="1:6" x14ac:dyDescent="0.3">
      <c r="A12" s="2"/>
      <c r="B12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0BC5-08C9-46A1-B979-EAF6A332F07E}">
  <dimension ref="A1:F9"/>
  <sheetViews>
    <sheetView workbookViewId="0">
      <selection activeCell="A7" sqref="A7"/>
    </sheetView>
  </sheetViews>
  <sheetFormatPr baseColWidth="10" defaultRowHeight="14.4" x14ac:dyDescent="0.3"/>
  <cols>
    <col min="1" max="1" width="40.33203125" customWidth="1"/>
    <col min="2" max="2" width="18.109375" customWidth="1"/>
    <col min="3" max="3" width="18.5546875" customWidth="1"/>
    <col min="4" max="4" width="8.5546875" customWidth="1"/>
    <col min="5" max="5" width="16.44140625" customWidth="1"/>
    <col min="6" max="6" width="16.21875" customWidth="1"/>
  </cols>
  <sheetData>
    <row r="1" spans="1:6" x14ac:dyDescent="0.3">
      <c r="F1" s="5">
        <v>46249</v>
      </c>
    </row>
    <row r="2" spans="1:6" x14ac:dyDescent="0.3">
      <c r="E2" s="5"/>
    </row>
    <row r="3" spans="1:6" x14ac:dyDescent="0.3">
      <c r="A3" t="s">
        <v>150</v>
      </c>
    </row>
    <row r="6" spans="1:6" x14ac:dyDescent="0.3">
      <c r="A6" s="1" t="s">
        <v>61</v>
      </c>
      <c r="B6" s="1" t="s">
        <v>49</v>
      </c>
      <c r="C6" s="1" t="s">
        <v>50</v>
      </c>
      <c r="D6" s="1" t="s">
        <v>65</v>
      </c>
      <c r="E6" s="1" t="s">
        <v>51</v>
      </c>
      <c r="F6" s="1" t="s">
        <v>52</v>
      </c>
    </row>
    <row r="7" spans="1:6" x14ac:dyDescent="0.3">
      <c r="A7" t="s">
        <v>62</v>
      </c>
      <c r="B7" s="8">
        <v>50</v>
      </c>
      <c r="C7" s="8">
        <v>80</v>
      </c>
      <c r="D7">
        <v>150</v>
      </c>
      <c r="E7" s="8">
        <v>7500</v>
      </c>
      <c r="F7" s="8">
        <v>12000</v>
      </c>
    </row>
    <row r="8" spans="1:6" x14ac:dyDescent="0.3">
      <c r="A8" t="s">
        <v>63</v>
      </c>
      <c r="B8" s="8">
        <v>100</v>
      </c>
      <c r="C8" s="8">
        <v>150</v>
      </c>
      <c r="D8">
        <v>150</v>
      </c>
      <c r="E8" s="8">
        <v>15000</v>
      </c>
      <c r="F8" s="8">
        <v>22500</v>
      </c>
    </row>
    <row r="9" spans="1:6" x14ac:dyDescent="0.3">
      <c r="A9" t="s">
        <v>64</v>
      </c>
      <c r="B9" s="8">
        <v>150</v>
      </c>
      <c r="C9" s="8">
        <v>200</v>
      </c>
      <c r="D9">
        <v>150</v>
      </c>
      <c r="E9" s="8">
        <v>22500</v>
      </c>
      <c r="F9" s="8">
        <v>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903E-3F5F-48AB-9F13-CEDC55214D2F}">
  <dimension ref="A1:F17"/>
  <sheetViews>
    <sheetView workbookViewId="0">
      <selection activeCell="H9" sqref="H9"/>
    </sheetView>
  </sheetViews>
  <sheetFormatPr baseColWidth="10" defaultRowHeight="14.4" x14ac:dyDescent="0.3"/>
  <cols>
    <col min="1" max="1" width="20.5546875" customWidth="1"/>
    <col min="2" max="2" width="32.88671875" customWidth="1"/>
    <col min="3" max="3" width="16.44140625" customWidth="1"/>
    <col min="4" max="4" width="14.21875" customWidth="1"/>
    <col min="5" max="5" width="14.33203125" customWidth="1"/>
  </cols>
  <sheetData>
    <row r="1" spans="1:6" x14ac:dyDescent="0.3">
      <c r="F1" s="5">
        <v>46249</v>
      </c>
    </row>
    <row r="2" spans="1:6" x14ac:dyDescent="0.3">
      <c r="E2" s="5"/>
    </row>
    <row r="3" spans="1:6" x14ac:dyDescent="0.3">
      <c r="A3" t="s">
        <v>143</v>
      </c>
    </row>
    <row r="6" spans="1:6" x14ac:dyDescent="0.3">
      <c r="A6" s="1" t="s">
        <v>66</v>
      </c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</row>
    <row r="7" spans="1:6" x14ac:dyDescent="0.3">
      <c r="A7" t="s">
        <v>72</v>
      </c>
      <c r="B7" t="s">
        <v>73</v>
      </c>
      <c r="C7" t="s">
        <v>74</v>
      </c>
      <c r="D7" s="8">
        <v>8000</v>
      </c>
      <c r="E7" s="8">
        <v>18000</v>
      </c>
      <c r="F7" t="s">
        <v>75</v>
      </c>
    </row>
    <row r="8" spans="1:6" x14ac:dyDescent="0.3">
      <c r="A8" t="s">
        <v>72</v>
      </c>
      <c r="B8" t="s">
        <v>76</v>
      </c>
      <c r="C8" t="s">
        <v>77</v>
      </c>
      <c r="D8" s="8">
        <v>15000</v>
      </c>
      <c r="E8" s="8">
        <v>30000</v>
      </c>
      <c r="F8" t="s">
        <v>75</v>
      </c>
    </row>
    <row r="9" spans="1:6" x14ac:dyDescent="0.3">
      <c r="A9" t="s">
        <v>72</v>
      </c>
      <c r="B9" t="s">
        <v>78</v>
      </c>
      <c r="C9" t="s">
        <v>79</v>
      </c>
      <c r="D9" s="8">
        <v>5000</v>
      </c>
      <c r="E9" s="8">
        <v>12000</v>
      </c>
      <c r="F9" t="s">
        <v>75</v>
      </c>
    </row>
    <row r="10" spans="1:6" x14ac:dyDescent="0.3">
      <c r="A10" t="s">
        <v>72</v>
      </c>
      <c r="B10" t="s">
        <v>80</v>
      </c>
      <c r="C10" t="s">
        <v>81</v>
      </c>
      <c r="D10" s="8">
        <v>6000</v>
      </c>
      <c r="E10" s="8">
        <v>10000</v>
      </c>
      <c r="F10" t="s">
        <v>75</v>
      </c>
    </row>
    <row r="11" spans="1:6" x14ac:dyDescent="0.3">
      <c r="A11" t="s">
        <v>82</v>
      </c>
      <c r="B11" t="s">
        <v>83</v>
      </c>
      <c r="C11" t="s">
        <v>84</v>
      </c>
      <c r="D11" s="8">
        <v>12000</v>
      </c>
      <c r="E11" s="8">
        <v>22000</v>
      </c>
      <c r="F11" t="s">
        <v>75</v>
      </c>
    </row>
    <row r="12" spans="1:6" x14ac:dyDescent="0.3">
      <c r="A12" t="s">
        <v>82</v>
      </c>
      <c r="B12" t="s">
        <v>85</v>
      </c>
      <c r="C12" t="s">
        <v>86</v>
      </c>
      <c r="D12" s="8">
        <v>10000</v>
      </c>
      <c r="E12" s="8">
        <v>18000</v>
      </c>
      <c r="F12" t="s">
        <v>75</v>
      </c>
    </row>
    <row r="13" spans="1:6" x14ac:dyDescent="0.3">
      <c r="A13" t="s">
        <v>82</v>
      </c>
      <c r="B13" t="s">
        <v>87</v>
      </c>
      <c r="C13" t="s">
        <v>88</v>
      </c>
      <c r="D13" s="8">
        <v>15000</v>
      </c>
      <c r="E13" s="8">
        <v>25000</v>
      </c>
      <c r="F13" t="s">
        <v>75</v>
      </c>
    </row>
    <row r="14" spans="1:6" x14ac:dyDescent="0.3">
      <c r="A14" t="s">
        <v>82</v>
      </c>
      <c r="B14" t="s">
        <v>89</v>
      </c>
      <c r="C14" t="s">
        <v>90</v>
      </c>
      <c r="D14" s="8">
        <v>5000</v>
      </c>
      <c r="E14" s="8">
        <v>10000</v>
      </c>
      <c r="F14" t="s">
        <v>75</v>
      </c>
    </row>
    <row r="15" spans="1:6" x14ac:dyDescent="0.3">
      <c r="A15" t="s">
        <v>91</v>
      </c>
      <c r="B15" t="s">
        <v>92</v>
      </c>
      <c r="C15" t="s">
        <v>93</v>
      </c>
      <c r="D15" s="10" t="s">
        <v>151</v>
      </c>
      <c r="E15" s="10" t="s">
        <v>153</v>
      </c>
      <c r="F15" s="10" t="s">
        <v>94</v>
      </c>
    </row>
    <row r="16" spans="1:6" x14ac:dyDescent="0.3">
      <c r="A16" t="s">
        <v>91</v>
      </c>
      <c r="B16" t="s">
        <v>95</v>
      </c>
      <c r="C16" t="s">
        <v>96</v>
      </c>
      <c r="D16" s="10" t="s">
        <v>152</v>
      </c>
      <c r="E16" s="10" t="s">
        <v>154</v>
      </c>
      <c r="F16" s="10" t="s">
        <v>94</v>
      </c>
    </row>
    <row r="17" spans="1:6" x14ac:dyDescent="0.3">
      <c r="A17" t="s">
        <v>91</v>
      </c>
      <c r="B17" t="s">
        <v>97</v>
      </c>
      <c r="C17" t="s">
        <v>98</v>
      </c>
      <c r="D17" s="10" t="s">
        <v>155</v>
      </c>
      <c r="E17" s="10" t="s">
        <v>156</v>
      </c>
      <c r="F17" s="10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9D74-EB84-45FF-A32F-5597773D16F5}">
  <dimension ref="A1:E17"/>
  <sheetViews>
    <sheetView workbookViewId="0">
      <selection activeCell="G15" sqref="G15"/>
    </sheetView>
  </sheetViews>
  <sheetFormatPr baseColWidth="10" defaultRowHeight="14.4" x14ac:dyDescent="0.3"/>
  <cols>
    <col min="1" max="1" width="23.33203125" customWidth="1"/>
    <col min="2" max="2" width="47.77734375" customWidth="1"/>
    <col min="4" max="4" width="14.77734375" customWidth="1"/>
    <col min="5" max="5" width="13.6640625" customWidth="1"/>
  </cols>
  <sheetData>
    <row r="1" spans="1:5" x14ac:dyDescent="0.3">
      <c r="E1" s="5">
        <v>46249</v>
      </c>
    </row>
    <row r="2" spans="1:5" x14ac:dyDescent="0.3">
      <c r="A2" t="s">
        <v>148</v>
      </c>
      <c r="D2" s="5"/>
    </row>
    <row r="3" spans="1:5" x14ac:dyDescent="0.3">
      <c r="A3" t="s">
        <v>142</v>
      </c>
    </row>
    <row r="6" spans="1:5" x14ac:dyDescent="0.3">
      <c r="A6" s="1" t="s">
        <v>100</v>
      </c>
      <c r="B6" s="1" t="s">
        <v>101</v>
      </c>
      <c r="C6" s="1" t="s">
        <v>102</v>
      </c>
      <c r="D6" s="1" t="s">
        <v>103</v>
      </c>
      <c r="E6" s="1" t="s">
        <v>104</v>
      </c>
    </row>
    <row r="7" spans="1:5" x14ac:dyDescent="0.3">
      <c r="A7" t="s">
        <v>105</v>
      </c>
      <c r="B7" t="s">
        <v>106</v>
      </c>
      <c r="C7">
        <v>1</v>
      </c>
      <c r="D7" s="8">
        <v>12000</v>
      </c>
      <c r="E7" s="8">
        <v>16000</v>
      </c>
    </row>
    <row r="8" spans="1:5" x14ac:dyDescent="0.3">
      <c r="A8" t="s">
        <v>107</v>
      </c>
      <c r="B8" t="s">
        <v>108</v>
      </c>
      <c r="C8">
        <v>1</v>
      </c>
      <c r="D8" s="8">
        <v>5000</v>
      </c>
      <c r="E8" s="8">
        <v>7000</v>
      </c>
    </row>
    <row r="9" spans="1:5" x14ac:dyDescent="0.3">
      <c r="A9" t="s">
        <v>109</v>
      </c>
      <c r="B9" t="s">
        <v>110</v>
      </c>
      <c r="C9">
        <v>3</v>
      </c>
      <c r="D9" s="8">
        <v>2800</v>
      </c>
      <c r="E9" s="8">
        <v>3800</v>
      </c>
    </row>
    <row r="10" spans="1:5" x14ac:dyDescent="0.3">
      <c r="A10" t="s">
        <v>111</v>
      </c>
      <c r="B10" t="s">
        <v>112</v>
      </c>
      <c r="C10">
        <v>1</v>
      </c>
      <c r="D10" s="8">
        <v>5500</v>
      </c>
      <c r="E10" s="8">
        <v>7500</v>
      </c>
    </row>
    <row r="11" spans="1:5" x14ac:dyDescent="0.3">
      <c r="A11" t="s">
        <v>113</v>
      </c>
      <c r="B11" t="s">
        <v>114</v>
      </c>
      <c r="C11">
        <v>3</v>
      </c>
      <c r="D11" s="8">
        <v>2200</v>
      </c>
      <c r="E11" s="8">
        <v>3200</v>
      </c>
    </row>
    <row r="12" spans="1:5" x14ac:dyDescent="0.3">
      <c r="A12" t="s">
        <v>115</v>
      </c>
      <c r="B12" t="s">
        <v>116</v>
      </c>
      <c r="C12">
        <v>4</v>
      </c>
      <c r="D12" s="8">
        <v>2400</v>
      </c>
      <c r="E12" s="8">
        <v>3200</v>
      </c>
    </row>
    <row r="13" spans="1:5" x14ac:dyDescent="0.3">
      <c r="A13" t="s">
        <v>117</v>
      </c>
      <c r="B13" t="s">
        <v>118</v>
      </c>
      <c r="C13">
        <v>200</v>
      </c>
      <c r="D13" s="8">
        <v>10000</v>
      </c>
      <c r="E13" s="8">
        <v>14000</v>
      </c>
    </row>
    <row r="14" spans="1:5" x14ac:dyDescent="0.3">
      <c r="A14" t="s">
        <v>119</v>
      </c>
      <c r="B14" t="s">
        <v>120</v>
      </c>
      <c r="C14">
        <v>1</v>
      </c>
      <c r="D14" s="8">
        <v>6000</v>
      </c>
      <c r="E14" s="8">
        <v>10000</v>
      </c>
    </row>
    <row r="15" spans="1:5" x14ac:dyDescent="0.3">
      <c r="A15" t="s">
        <v>121</v>
      </c>
      <c r="B15" t="s">
        <v>122</v>
      </c>
      <c r="C15">
        <v>1</v>
      </c>
      <c r="D15" s="8">
        <v>10000</v>
      </c>
      <c r="E15" s="8">
        <v>14000</v>
      </c>
    </row>
    <row r="16" spans="1:5" x14ac:dyDescent="0.3">
      <c r="A16" t="s">
        <v>123</v>
      </c>
      <c r="B16" t="s">
        <v>124</v>
      </c>
      <c r="C16">
        <v>1</v>
      </c>
      <c r="D16" s="8">
        <v>3000</v>
      </c>
      <c r="E16" s="8">
        <v>5000</v>
      </c>
    </row>
    <row r="17" spans="1:5" x14ac:dyDescent="0.3">
      <c r="A17" t="s">
        <v>125</v>
      </c>
      <c r="B17" t="s">
        <v>58</v>
      </c>
      <c r="C17">
        <f>SUM(C7:C16)</f>
        <v>216</v>
      </c>
      <c r="D17" s="3">
        <v>58900</v>
      </c>
      <c r="E17" s="3">
        <v>93700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3015-9896-4E16-B96F-3DCF20F15BF0}">
  <dimension ref="A1:D11"/>
  <sheetViews>
    <sheetView tabSelected="1" workbookViewId="0">
      <selection activeCell="J21" sqref="J21"/>
    </sheetView>
  </sheetViews>
  <sheetFormatPr baseColWidth="10" defaultRowHeight="14.4" x14ac:dyDescent="0.3"/>
  <cols>
    <col min="1" max="1" width="23.44140625" customWidth="1"/>
    <col min="2" max="2" width="38.33203125" customWidth="1"/>
    <col min="3" max="3" width="18.44140625" customWidth="1"/>
    <col min="4" max="4" width="19" customWidth="1"/>
  </cols>
  <sheetData>
    <row r="1" spans="1:4" x14ac:dyDescent="0.3">
      <c r="D1" s="5">
        <v>46249</v>
      </c>
    </row>
    <row r="2" spans="1:4" x14ac:dyDescent="0.3">
      <c r="D2" s="5"/>
    </row>
    <row r="3" spans="1:4" x14ac:dyDescent="0.3">
      <c r="A3" t="s">
        <v>141</v>
      </c>
    </row>
    <row r="6" spans="1:4" x14ac:dyDescent="0.3">
      <c r="A6" s="1" t="s">
        <v>126</v>
      </c>
      <c r="B6" s="1" t="s">
        <v>127</v>
      </c>
      <c r="C6" s="1" t="s">
        <v>128</v>
      </c>
      <c r="D6" s="1" t="s">
        <v>129</v>
      </c>
    </row>
    <row r="7" spans="1:4" x14ac:dyDescent="0.3">
      <c r="A7" t="s">
        <v>130</v>
      </c>
      <c r="B7" t="s">
        <v>131</v>
      </c>
      <c r="C7" s="8">
        <v>300</v>
      </c>
      <c r="D7" s="8">
        <v>500</v>
      </c>
    </row>
    <row r="8" spans="1:4" x14ac:dyDescent="0.3">
      <c r="A8" t="s">
        <v>132</v>
      </c>
      <c r="B8" t="s">
        <v>133</v>
      </c>
      <c r="C8" s="8">
        <v>100</v>
      </c>
      <c r="D8" s="8">
        <v>200</v>
      </c>
    </row>
    <row r="9" spans="1:4" x14ac:dyDescent="0.3">
      <c r="A9" t="s">
        <v>134</v>
      </c>
      <c r="B9" t="s">
        <v>135</v>
      </c>
      <c r="C9" s="8">
        <v>500</v>
      </c>
      <c r="D9" s="8">
        <v>900</v>
      </c>
    </row>
    <row r="10" spans="1:4" x14ac:dyDescent="0.3">
      <c r="A10" t="s">
        <v>136</v>
      </c>
      <c r="B10" t="s">
        <v>137</v>
      </c>
      <c r="C10" s="8">
        <v>800</v>
      </c>
      <c r="D10" s="8">
        <v>1200</v>
      </c>
    </row>
    <row r="11" spans="1:4" x14ac:dyDescent="0.3">
      <c r="A11" t="s">
        <v>138</v>
      </c>
      <c r="B11" t="s">
        <v>58</v>
      </c>
      <c r="C11" s="10" t="s">
        <v>139</v>
      </c>
      <c r="D11" s="1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Comparativa</vt:lpstr>
      <vt:lpstr>Cotizador de planes</vt:lpstr>
      <vt:lpstr>Matriz de cobertura</vt:lpstr>
      <vt:lpstr>Cotizador por modelos</vt:lpstr>
      <vt:lpstr>Facturación por Usuario</vt:lpstr>
      <vt:lpstr>Catálogo de Cotizaciones </vt:lpstr>
      <vt:lpstr>Inversión Inicia</vt:lpstr>
      <vt:lpstr>Costos Recurrentes Adicionales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Franchesca Soto Abreu</dc:creator>
  <cp:lastModifiedBy>Franchesca Soto Abreu</cp:lastModifiedBy>
  <dcterms:created xsi:type="dcterms:W3CDTF">2026-08-15T23:41:55Z</dcterms:created>
  <dcterms:modified xsi:type="dcterms:W3CDTF">2026-08-16T01:37:13Z</dcterms:modified>
</cp:coreProperties>
</file>