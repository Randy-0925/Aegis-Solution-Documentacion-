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laedudo-my.sharepoint.com/personal/20251625_itla_edu_do/Documents/"/>
    </mc:Choice>
  </mc:AlternateContent>
  <xr:revisionPtr revIDLastSave="281" documentId="8_{DE95C52A-F1DC-49D4-BA70-F5747B16A1A1}" xr6:coauthVersionLast="47" xr6:coauthVersionMax="47" xr10:uidLastSave="{198A6686-A064-481D-A68E-F65BC2B703DC}"/>
  <bookViews>
    <workbookView xWindow="-108" yWindow="-108" windowWidth="23256" windowHeight="12456" activeTab="1" xr2:uid="{E2D01545-9D68-4DA2-BE4F-4A0A9F5C83EE}"/>
  </bookViews>
  <sheets>
    <sheet name="Cotización" sheetId="3" r:id="rId1"/>
    <sheet name="Presupuesto 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2" l="1"/>
  <c r="F11" i="2"/>
  <c r="G3" i="2"/>
  <c r="G4" i="2"/>
  <c r="G6" i="2" s="1"/>
</calcChain>
</file>

<file path=xl/sharedStrings.xml><?xml version="1.0" encoding="utf-8"?>
<sst xmlns="http://schemas.openxmlformats.org/spreadsheetml/2006/main" count="182" uniqueCount="63">
  <si>
    <t>Equipo</t>
  </si>
  <si>
    <t>Sede</t>
  </si>
  <si>
    <t>Rol</t>
  </si>
  <si>
    <t>Modelo</t>
  </si>
  <si>
    <t>Cantidad</t>
  </si>
  <si>
    <t>P. Unitario (DOP)</t>
  </si>
  <si>
    <t>Subtotal (DOP)</t>
  </si>
  <si>
    <t>R-SD</t>
  </si>
  <si>
    <t>Santo Domingo</t>
  </si>
  <si>
    <t>Core + Hub DMVPN</t>
  </si>
  <si>
    <t>Cisco 7200</t>
  </si>
  <si>
    <t>SWM-1</t>
  </si>
  <si>
    <t>Distribución L3</t>
  </si>
  <si>
    <t>Catalyst 3560</t>
  </si>
  <si>
    <t>SWM-2</t>
  </si>
  <si>
    <t>SW-10</t>
  </si>
  <si>
    <t>Acceso L2</t>
  </si>
  <si>
    <t>Catalyst 2960</t>
  </si>
  <si>
    <t>SW-11</t>
  </si>
  <si>
    <t>SW-12</t>
  </si>
  <si>
    <t>R-SANTIAGO</t>
  </si>
  <si>
    <t>Santiago</t>
  </si>
  <si>
    <t>Spoke DMVPN</t>
  </si>
  <si>
    <t>SW-STGO-CORE</t>
  </si>
  <si>
    <t>SW-STGO-AC1</t>
  </si>
  <si>
    <t>R-ROMANA</t>
  </si>
  <si>
    <t>La Romana</t>
  </si>
  <si>
    <t>SW-3</t>
  </si>
  <si>
    <t>Distribución</t>
  </si>
  <si>
    <t>SW-9</t>
  </si>
  <si>
    <t>R-PUERTO-PLATA</t>
  </si>
  <si>
    <t>Puerto Plata</t>
  </si>
  <si>
    <t>ISP-NUBE</t>
  </si>
  <si>
    <t>Nube</t>
  </si>
  <si>
    <t>SRV-* (Linux)</t>
  </si>
  <si>
    <t>Ubuntu/CentOS</t>
  </si>
  <si>
    <t>TOTAL</t>
  </si>
  <si>
    <t>P. Unitario (USD)</t>
  </si>
  <si>
    <t>R-SD/STGO/ROM/PP</t>
  </si>
  <si>
    <t>Múltiples</t>
  </si>
  <si>
    <t>SWM-1/2/CORE/3</t>
  </si>
  <si>
    <t>SW-10/11/12/AC1/9</t>
  </si>
  <si>
    <t>Servidores</t>
  </si>
  <si>
    <t>Precio Unitario (USD)</t>
  </si>
  <si>
    <t>Precio Unitario (DOP)</t>
  </si>
  <si>
    <t>Distribución L3 (principal)</t>
  </si>
  <si>
    <t>Distribución L3 (redundante)</t>
  </si>
  <si>
    <t>ISP (NAT de salida)</t>
  </si>
  <si>
    <t>Router emulado</t>
  </si>
  <si>
    <t>RADIUS / DNS / NTP / Zabbix-Wazuh</t>
  </si>
  <si>
    <t>Subtotal (USD)</t>
  </si>
  <si>
    <t>TOTAL (USD):</t>
  </si>
  <si>
    <t>Routers WAN</t>
  </si>
  <si>
    <t>Varios</t>
  </si>
  <si>
    <t>Switches Distr.</t>
  </si>
  <si>
    <t>Switches Acceso</t>
  </si>
  <si>
    <t>Linux Hosts</t>
  </si>
  <si>
    <t>Cliente: Aegis Solutions</t>
  </si>
  <si>
    <t>RNC 132621483</t>
  </si>
  <si>
    <t>Dirección: Santo Domingo, República Dominicana</t>
  </si>
  <si>
    <t>*Precios incluyen ITBIS</t>
  </si>
  <si>
    <t>*Tasa del dólar RD$60.00</t>
  </si>
  <si>
    <r>
      <t xml:space="preserve">Condiciones: </t>
    </r>
    <r>
      <rPr>
        <b/>
        <sz val="11"/>
        <color theme="1"/>
        <rFont val="Aptos Narrow"/>
        <family val="2"/>
        <scheme val="minor"/>
      </rPr>
      <t>Contado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</si>
</sst>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6" fontId="2" fillId="0" borderId="1" xfId="0" applyNumberFormat="1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8" fontId="2" fillId="0" borderId="1" xfId="0" applyNumberFormat="1" applyFont="1" applyBorder="1" applyAlignment="1">
      <alignment horizontal="left" vertical="center" wrapText="1" indent="1"/>
    </xf>
    <xf numFmtId="8" fontId="3" fillId="0" borderId="1" xfId="0" applyNumberFormat="1" applyFont="1" applyBorder="1" applyAlignment="1">
      <alignment horizontal="left" vertical="center" wrapText="1" indent="1"/>
    </xf>
    <xf numFmtId="0" fontId="0" fillId="4" borderId="0" xfId="0" applyFill="1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0" fillId="0" borderId="2" xfId="0" applyNumberFormat="1" applyBorder="1"/>
    <xf numFmtId="0" fontId="1" fillId="2" borderId="0" xfId="0" applyFont="1" applyFill="1"/>
    <xf numFmtId="6" fontId="3" fillId="0" borderId="1" xfId="0" applyNumberFormat="1" applyFont="1" applyBorder="1" applyAlignment="1">
      <alignment horizontal="left" vertical="center" wrapText="1" indent="1"/>
    </xf>
    <xf numFmtId="164" fontId="1" fillId="0" borderId="0" xfId="0" applyNumberFormat="1" applyFont="1" applyAlignment="1">
      <alignment horizontal="right"/>
    </xf>
    <xf numFmtId="0" fontId="3" fillId="5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6BC-1872-427D-B53B-3A179BED2C1D}">
  <dimension ref="A1:I43"/>
  <sheetViews>
    <sheetView topLeftCell="A3" workbookViewId="0">
      <selection activeCell="I26" sqref="I26"/>
    </sheetView>
  </sheetViews>
  <sheetFormatPr baseColWidth="10" defaultRowHeight="14.4" x14ac:dyDescent="0.3"/>
  <cols>
    <col min="5" max="5" width="8" customWidth="1"/>
    <col min="6" max="8" width="18" customWidth="1"/>
    <col min="9" max="9" width="12.6640625" bestFit="1" customWidth="1"/>
  </cols>
  <sheetData>
    <row r="1" spans="1:9" x14ac:dyDescent="0.3">
      <c r="H1" s="7">
        <v>46247</v>
      </c>
    </row>
    <row r="2" spans="1:9" x14ac:dyDescent="0.3">
      <c r="H2" s="7"/>
    </row>
    <row r="3" spans="1:9" x14ac:dyDescent="0.3">
      <c r="A3" s="8" t="s">
        <v>57</v>
      </c>
      <c r="B3" s="8"/>
    </row>
    <row r="4" spans="1:9" x14ac:dyDescent="0.3">
      <c r="A4" t="s">
        <v>58</v>
      </c>
    </row>
    <row r="5" spans="1:9" x14ac:dyDescent="0.3">
      <c r="A5" t="s">
        <v>59</v>
      </c>
      <c r="H5" t="s">
        <v>62</v>
      </c>
    </row>
    <row r="7" spans="1:9" x14ac:dyDescent="0.3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43</v>
      </c>
      <c r="G7" s="12" t="s">
        <v>50</v>
      </c>
      <c r="H7" s="12" t="s">
        <v>44</v>
      </c>
      <c r="I7" s="12" t="s">
        <v>6</v>
      </c>
    </row>
    <row r="8" spans="1:9" x14ac:dyDescent="0.3">
      <c r="A8" t="s">
        <v>7</v>
      </c>
      <c r="B8" t="s">
        <v>8</v>
      </c>
      <c r="C8" t="s">
        <v>9</v>
      </c>
      <c r="D8" t="s">
        <v>10</v>
      </c>
      <c r="E8">
        <v>1</v>
      </c>
      <c r="F8" s="9">
        <v>2500</v>
      </c>
      <c r="G8" s="9">
        <v>2500</v>
      </c>
      <c r="H8" s="9">
        <v>150000</v>
      </c>
      <c r="I8" s="9">
        <v>150000</v>
      </c>
    </row>
    <row r="9" spans="1:9" x14ac:dyDescent="0.3">
      <c r="A9" t="s">
        <v>11</v>
      </c>
      <c r="B9" t="s">
        <v>8</v>
      </c>
      <c r="C9" t="s">
        <v>45</v>
      </c>
      <c r="D9" t="s">
        <v>13</v>
      </c>
      <c r="E9">
        <v>1</v>
      </c>
      <c r="F9" s="9">
        <v>3995</v>
      </c>
      <c r="G9" s="9">
        <v>3995</v>
      </c>
      <c r="H9" s="9">
        <v>239700</v>
      </c>
      <c r="I9" s="9">
        <v>239700</v>
      </c>
    </row>
    <row r="10" spans="1:9" x14ac:dyDescent="0.3">
      <c r="A10" t="s">
        <v>14</v>
      </c>
      <c r="B10" t="s">
        <v>8</v>
      </c>
      <c r="C10" t="s">
        <v>46</v>
      </c>
      <c r="D10" t="s">
        <v>13</v>
      </c>
      <c r="E10">
        <v>1</v>
      </c>
      <c r="F10" s="9">
        <v>3995</v>
      </c>
      <c r="G10" s="9">
        <v>3995</v>
      </c>
      <c r="H10" s="9">
        <v>239700</v>
      </c>
      <c r="I10" s="9">
        <v>239700</v>
      </c>
    </row>
    <row r="11" spans="1:9" x14ac:dyDescent="0.3">
      <c r="A11" t="s">
        <v>15</v>
      </c>
      <c r="B11" t="s">
        <v>8</v>
      </c>
      <c r="C11" t="s">
        <v>16</v>
      </c>
      <c r="D11" t="s">
        <v>17</v>
      </c>
      <c r="E11">
        <v>1</v>
      </c>
      <c r="F11" s="9">
        <v>868</v>
      </c>
      <c r="G11" s="9">
        <v>868</v>
      </c>
      <c r="H11" s="9">
        <v>52080</v>
      </c>
      <c r="I11" s="9">
        <v>52080</v>
      </c>
    </row>
    <row r="12" spans="1:9" x14ac:dyDescent="0.3">
      <c r="A12" t="s">
        <v>18</v>
      </c>
      <c r="B12" t="s">
        <v>8</v>
      </c>
      <c r="C12" t="s">
        <v>16</v>
      </c>
      <c r="D12" t="s">
        <v>17</v>
      </c>
      <c r="E12">
        <v>1</v>
      </c>
      <c r="F12" s="9">
        <v>868</v>
      </c>
      <c r="G12" s="9">
        <v>868</v>
      </c>
      <c r="H12" s="9">
        <v>52080</v>
      </c>
      <c r="I12" s="9">
        <v>52080</v>
      </c>
    </row>
    <row r="13" spans="1:9" x14ac:dyDescent="0.3">
      <c r="A13" t="s">
        <v>19</v>
      </c>
      <c r="B13" t="s">
        <v>8</v>
      </c>
      <c r="C13" t="s">
        <v>16</v>
      </c>
      <c r="D13" t="s">
        <v>17</v>
      </c>
      <c r="E13">
        <v>1</v>
      </c>
      <c r="F13" s="9">
        <v>868</v>
      </c>
      <c r="G13" s="9">
        <v>868</v>
      </c>
      <c r="H13" s="9">
        <v>52080</v>
      </c>
      <c r="I13" s="9">
        <v>52080</v>
      </c>
    </row>
    <row r="14" spans="1:9" x14ac:dyDescent="0.3">
      <c r="A14" t="s">
        <v>20</v>
      </c>
      <c r="B14" t="s">
        <v>21</v>
      </c>
      <c r="C14" t="s">
        <v>22</v>
      </c>
      <c r="D14" t="s">
        <v>10</v>
      </c>
      <c r="E14">
        <v>1</v>
      </c>
      <c r="F14" s="9">
        <v>2500</v>
      </c>
      <c r="G14" s="9">
        <v>2500</v>
      </c>
      <c r="H14" s="9">
        <v>150000</v>
      </c>
      <c r="I14" s="9">
        <v>150000</v>
      </c>
    </row>
    <row r="15" spans="1:9" x14ac:dyDescent="0.3">
      <c r="A15" t="s">
        <v>23</v>
      </c>
      <c r="B15" t="s">
        <v>21</v>
      </c>
      <c r="C15" t="s">
        <v>12</v>
      </c>
      <c r="D15" t="s">
        <v>13</v>
      </c>
      <c r="E15">
        <v>1</v>
      </c>
      <c r="F15" s="9">
        <v>3995</v>
      </c>
      <c r="G15" s="9">
        <v>3995</v>
      </c>
      <c r="H15" s="9">
        <v>239700</v>
      </c>
      <c r="I15" s="9">
        <v>239700</v>
      </c>
    </row>
    <row r="16" spans="1:9" x14ac:dyDescent="0.3">
      <c r="A16" t="s">
        <v>24</v>
      </c>
      <c r="B16" t="s">
        <v>21</v>
      </c>
      <c r="C16" t="s">
        <v>16</v>
      </c>
      <c r="D16" t="s">
        <v>17</v>
      </c>
      <c r="E16">
        <v>1</v>
      </c>
      <c r="F16" s="9">
        <v>868</v>
      </c>
      <c r="G16" s="9">
        <v>868</v>
      </c>
      <c r="H16" s="9">
        <v>52080</v>
      </c>
      <c r="I16" s="9">
        <v>52080</v>
      </c>
    </row>
    <row r="17" spans="1:9" x14ac:dyDescent="0.3">
      <c r="A17" t="s">
        <v>25</v>
      </c>
      <c r="B17" t="s">
        <v>26</v>
      </c>
      <c r="C17" t="s">
        <v>22</v>
      </c>
      <c r="D17" t="s">
        <v>10</v>
      </c>
      <c r="E17">
        <v>1</v>
      </c>
      <c r="F17" s="9">
        <v>2500</v>
      </c>
      <c r="G17" s="9">
        <v>2500</v>
      </c>
      <c r="H17" s="9">
        <v>150000</v>
      </c>
      <c r="I17" s="9">
        <v>150000</v>
      </c>
    </row>
    <row r="18" spans="1:9" x14ac:dyDescent="0.3">
      <c r="A18" t="s">
        <v>27</v>
      </c>
      <c r="B18" t="s">
        <v>26</v>
      </c>
      <c r="C18" t="s">
        <v>28</v>
      </c>
      <c r="D18" t="s">
        <v>13</v>
      </c>
      <c r="E18">
        <v>1</v>
      </c>
      <c r="F18" s="9">
        <v>3995</v>
      </c>
      <c r="G18" s="9">
        <v>3995</v>
      </c>
      <c r="H18" s="9">
        <v>239700</v>
      </c>
      <c r="I18" s="9">
        <v>239700</v>
      </c>
    </row>
    <row r="19" spans="1:9" x14ac:dyDescent="0.3">
      <c r="A19" t="s">
        <v>29</v>
      </c>
      <c r="B19" t="s">
        <v>26</v>
      </c>
      <c r="C19" t="s">
        <v>16</v>
      </c>
      <c r="D19" t="s">
        <v>17</v>
      </c>
      <c r="E19">
        <v>1</v>
      </c>
      <c r="F19" s="9">
        <v>868</v>
      </c>
      <c r="G19" s="9">
        <v>868</v>
      </c>
      <c r="H19" s="9">
        <v>52080</v>
      </c>
      <c r="I19" s="9">
        <v>52080</v>
      </c>
    </row>
    <row r="20" spans="1:9" x14ac:dyDescent="0.3">
      <c r="A20" t="s">
        <v>30</v>
      </c>
      <c r="B20" t="s">
        <v>31</v>
      </c>
      <c r="C20" t="s">
        <v>22</v>
      </c>
      <c r="D20" t="s">
        <v>10</v>
      </c>
      <c r="E20">
        <v>1</v>
      </c>
      <c r="F20" s="9">
        <v>2500</v>
      </c>
      <c r="G20" s="9">
        <v>2500</v>
      </c>
      <c r="H20" s="9">
        <v>150000</v>
      </c>
      <c r="I20" s="9">
        <v>150000</v>
      </c>
    </row>
    <row r="21" spans="1:9" x14ac:dyDescent="0.3">
      <c r="A21" t="s">
        <v>32</v>
      </c>
      <c r="B21" t="s">
        <v>33</v>
      </c>
      <c r="C21" t="s">
        <v>47</v>
      </c>
      <c r="D21" t="s">
        <v>48</v>
      </c>
      <c r="E21">
        <v>1</v>
      </c>
      <c r="F21" s="9">
        <v>0</v>
      </c>
      <c r="G21" s="9">
        <v>0</v>
      </c>
      <c r="H21" s="9">
        <v>0</v>
      </c>
      <c r="I21" s="9">
        <v>0</v>
      </c>
    </row>
    <row r="22" spans="1:9" x14ac:dyDescent="0.3">
      <c r="A22" t="s">
        <v>34</v>
      </c>
      <c r="B22" t="s">
        <v>21</v>
      </c>
      <c r="C22" t="s">
        <v>49</v>
      </c>
      <c r="D22" t="s">
        <v>35</v>
      </c>
      <c r="E22">
        <v>4</v>
      </c>
      <c r="F22" s="9">
        <v>500</v>
      </c>
      <c r="G22" s="11">
        <v>2000</v>
      </c>
      <c r="H22" s="9">
        <v>30000</v>
      </c>
      <c r="I22" s="11">
        <v>120000</v>
      </c>
    </row>
    <row r="23" spans="1:9" x14ac:dyDescent="0.3">
      <c r="F23" s="14"/>
      <c r="G23" s="10">
        <v>32320</v>
      </c>
      <c r="I23" s="10">
        <v>1939200</v>
      </c>
    </row>
    <row r="24" spans="1:9" x14ac:dyDescent="0.3">
      <c r="A24" s="8" t="s">
        <v>60</v>
      </c>
      <c r="B24" s="8"/>
    </row>
    <row r="25" spans="1:9" x14ac:dyDescent="0.3">
      <c r="A25" s="8" t="s">
        <v>61</v>
      </c>
      <c r="B25" s="8"/>
    </row>
    <row r="27" spans="1:9" x14ac:dyDescent="0.3">
      <c r="A27" s="6" t="s">
        <v>0</v>
      </c>
      <c r="B27" s="6" t="s">
        <v>1</v>
      </c>
      <c r="C27" s="6" t="s">
        <v>2</v>
      </c>
      <c r="D27" s="6" t="s">
        <v>3</v>
      </c>
      <c r="E27" s="6" t="s">
        <v>4</v>
      </c>
      <c r="F27" s="6" t="s">
        <v>43</v>
      </c>
      <c r="G27" s="6"/>
      <c r="H27" s="6" t="s">
        <v>50</v>
      </c>
    </row>
    <row r="28" spans="1:9" x14ac:dyDescent="0.3">
      <c r="A28" t="s">
        <v>7</v>
      </c>
      <c r="B28" t="s">
        <v>8</v>
      </c>
      <c r="C28" t="s">
        <v>9</v>
      </c>
      <c r="D28" t="s">
        <v>10</v>
      </c>
      <c r="E28">
        <v>1</v>
      </c>
      <c r="F28" s="9">
        <v>2500</v>
      </c>
      <c r="G28" s="9"/>
      <c r="H28" s="9">
        <v>2500</v>
      </c>
    </row>
    <row r="29" spans="1:9" x14ac:dyDescent="0.3">
      <c r="A29" t="s">
        <v>11</v>
      </c>
      <c r="B29" t="s">
        <v>8</v>
      </c>
      <c r="C29" t="s">
        <v>45</v>
      </c>
      <c r="D29" t="s">
        <v>13</v>
      </c>
      <c r="E29">
        <v>1</v>
      </c>
      <c r="F29" s="9">
        <v>3995</v>
      </c>
      <c r="G29" s="9"/>
      <c r="H29" s="9">
        <v>3995</v>
      </c>
    </row>
    <row r="30" spans="1:9" x14ac:dyDescent="0.3">
      <c r="A30" t="s">
        <v>14</v>
      </c>
      <c r="B30" t="s">
        <v>8</v>
      </c>
      <c r="C30" t="s">
        <v>46</v>
      </c>
      <c r="D30" t="s">
        <v>13</v>
      </c>
      <c r="E30">
        <v>1</v>
      </c>
      <c r="F30" s="9">
        <v>3995</v>
      </c>
      <c r="G30" s="9"/>
      <c r="H30" s="9">
        <v>3995</v>
      </c>
    </row>
    <row r="31" spans="1:9" x14ac:dyDescent="0.3">
      <c r="A31" t="s">
        <v>15</v>
      </c>
      <c r="B31" t="s">
        <v>8</v>
      </c>
      <c r="C31" t="s">
        <v>16</v>
      </c>
      <c r="D31" t="s">
        <v>17</v>
      </c>
      <c r="E31">
        <v>1</v>
      </c>
      <c r="F31" s="9">
        <v>868</v>
      </c>
      <c r="G31" s="9"/>
      <c r="H31" s="9">
        <v>868</v>
      </c>
    </row>
    <row r="32" spans="1:9" x14ac:dyDescent="0.3">
      <c r="A32" t="s">
        <v>18</v>
      </c>
      <c r="B32" t="s">
        <v>8</v>
      </c>
      <c r="C32" t="s">
        <v>16</v>
      </c>
      <c r="D32" t="s">
        <v>17</v>
      </c>
      <c r="E32">
        <v>1</v>
      </c>
      <c r="F32" s="9">
        <v>868</v>
      </c>
      <c r="G32" s="9"/>
      <c r="H32" s="9">
        <v>868</v>
      </c>
    </row>
    <row r="33" spans="1:8" x14ac:dyDescent="0.3">
      <c r="A33" t="s">
        <v>19</v>
      </c>
      <c r="B33" t="s">
        <v>8</v>
      </c>
      <c r="C33" t="s">
        <v>16</v>
      </c>
      <c r="D33" t="s">
        <v>17</v>
      </c>
      <c r="E33">
        <v>1</v>
      </c>
      <c r="F33" s="9">
        <v>868</v>
      </c>
      <c r="G33" s="9"/>
      <c r="H33" s="9">
        <v>868</v>
      </c>
    </row>
    <row r="34" spans="1:8" x14ac:dyDescent="0.3">
      <c r="A34" t="s">
        <v>20</v>
      </c>
      <c r="B34" t="s">
        <v>21</v>
      </c>
      <c r="C34" t="s">
        <v>22</v>
      </c>
      <c r="D34" t="s">
        <v>10</v>
      </c>
      <c r="E34">
        <v>1</v>
      </c>
      <c r="F34" s="9">
        <v>2500</v>
      </c>
      <c r="G34" s="9"/>
      <c r="H34" s="9">
        <v>2500</v>
      </c>
    </row>
    <row r="35" spans="1:8" x14ac:dyDescent="0.3">
      <c r="A35" t="s">
        <v>23</v>
      </c>
      <c r="B35" t="s">
        <v>21</v>
      </c>
      <c r="C35" t="s">
        <v>12</v>
      </c>
      <c r="D35" t="s">
        <v>13</v>
      </c>
      <c r="E35">
        <v>1</v>
      </c>
      <c r="F35" s="9">
        <v>3995</v>
      </c>
      <c r="G35" s="9"/>
      <c r="H35" s="9">
        <v>3995</v>
      </c>
    </row>
    <row r="36" spans="1:8" x14ac:dyDescent="0.3">
      <c r="A36" t="s">
        <v>24</v>
      </c>
      <c r="B36" t="s">
        <v>21</v>
      </c>
      <c r="C36" t="s">
        <v>16</v>
      </c>
      <c r="D36" t="s">
        <v>17</v>
      </c>
      <c r="E36">
        <v>1</v>
      </c>
      <c r="F36" s="9">
        <v>868</v>
      </c>
      <c r="G36" s="9"/>
      <c r="H36" s="9">
        <v>868</v>
      </c>
    </row>
    <row r="37" spans="1:8" x14ac:dyDescent="0.3">
      <c r="A37" t="s">
        <v>25</v>
      </c>
      <c r="B37" t="s">
        <v>26</v>
      </c>
      <c r="C37" t="s">
        <v>22</v>
      </c>
      <c r="D37" t="s">
        <v>10</v>
      </c>
      <c r="E37">
        <v>1</v>
      </c>
      <c r="F37" s="9">
        <v>2500</v>
      </c>
      <c r="G37" s="9"/>
      <c r="H37" s="9">
        <v>2500</v>
      </c>
    </row>
    <row r="38" spans="1:8" x14ac:dyDescent="0.3">
      <c r="A38" t="s">
        <v>27</v>
      </c>
      <c r="B38" t="s">
        <v>26</v>
      </c>
      <c r="C38" t="s">
        <v>28</v>
      </c>
      <c r="D38" t="s">
        <v>13</v>
      </c>
      <c r="E38">
        <v>1</v>
      </c>
      <c r="F38" s="9">
        <v>3995</v>
      </c>
      <c r="G38" s="9"/>
      <c r="H38" s="9">
        <v>3995</v>
      </c>
    </row>
    <row r="39" spans="1:8" x14ac:dyDescent="0.3">
      <c r="A39" t="s">
        <v>29</v>
      </c>
      <c r="B39" t="s">
        <v>26</v>
      </c>
      <c r="C39" t="s">
        <v>16</v>
      </c>
      <c r="D39" t="s">
        <v>17</v>
      </c>
      <c r="E39">
        <v>1</v>
      </c>
      <c r="F39" s="9">
        <v>868</v>
      </c>
      <c r="G39" s="9"/>
      <c r="H39" s="9">
        <v>868</v>
      </c>
    </row>
    <row r="40" spans="1:8" x14ac:dyDescent="0.3">
      <c r="A40" t="s">
        <v>30</v>
      </c>
      <c r="B40" t="s">
        <v>31</v>
      </c>
      <c r="C40" t="s">
        <v>22</v>
      </c>
      <c r="D40" t="s">
        <v>10</v>
      </c>
      <c r="E40">
        <v>1</v>
      </c>
      <c r="F40" s="9">
        <v>2500</v>
      </c>
      <c r="G40" s="9"/>
      <c r="H40" s="9">
        <v>2500</v>
      </c>
    </row>
    <row r="41" spans="1:8" x14ac:dyDescent="0.3">
      <c r="A41" t="s">
        <v>32</v>
      </c>
      <c r="B41" t="s">
        <v>33</v>
      </c>
      <c r="C41" t="s">
        <v>47</v>
      </c>
      <c r="D41" t="s">
        <v>48</v>
      </c>
      <c r="E41">
        <v>1</v>
      </c>
      <c r="F41" s="9">
        <v>0</v>
      </c>
      <c r="G41" s="9"/>
      <c r="H41" s="9">
        <v>0</v>
      </c>
    </row>
    <row r="42" spans="1:8" x14ac:dyDescent="0.3">
      <c r="A42" t="s">
        <v>34</v>
      </c>
      <c r="B42" t="s">
        <v>21</v>
      </c>
      <c r="C42" t="s">
        <v>49</v>
      </c>
      <c r="D42" t="s">
        <v>35</v>
      </c>
      <c r="E42">
        <v>4</v>
      </c>
      <c r="F42" s="9">
        <v>500</v>
      </c>
      <c r="G42" s="9"/>
      <c r="H42" s="9">
        <v>2000</v>
      </c>
    </row>
    <row r="43" spans="1:8" x14ac:dyDescent="0.3">
      <c r="F43" s="6" t="s">
        <v>51</v>
      </c>
      <c r="G43" s="6"/>
      <c r="H43" s="10">
        <v>32320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8CFE-7ABE-494C-8577-03A2AF122387}">
  <dimension ref="A1:G14"/>
  <sheetViews>
    <sheetView tabSelected="1" topLeftCell="A3" workbookViewId="0">
      <selection activeCell="I8" sqref="I8"/>
    </sheetView>
  </sheetViews>
  <sheetFormatPr baseColWidth="10" defaultRowHeight="14.4" x14ac:dyDescent="0.3"/>
  <cols>
    <col min="3" max="3" width="13.44140625" customWidth="1"/>
    <col min="6" max="7" width="12.5546875" bestFit="1" customWidth="1"/>
  </cols>
  <sheetData>
    <row r="1" spans="1:7" ht="42" thickBot="1" x14ac:dyDescent="0.35">
      <c r="A1" s="15" t="s">
        <v>0</v>
      </c>
      <c r="B1" s="15" t="s">
        <v>1</v>
      </c>
      <c r="C1" s="15" t="s">
        <v>3</v>
      </c>
      <c r="D1" s="15" t="s">
        <v>4</v>
      </c>
      <c r="E1" s="15" t="s">
        <v>37</v>
      </c>
      <c r="F1" s="15" t="s">
        <v>5</v>
      </c>
      <c r="G1" s="15" t="s">
        <v>6</v>
      </c>
    </row>
    <row r="2" spans="1:7" ht="42" thickBot="1" x14ac:dyDescent="0.35">
      <c r="A2" s="3" t="s">
        <v>38</v>
      </c>
      <c r="B2" s="1" t="s">
        <v>39</v>
      </c>
      <c r="C2" s="1" t="s">
        <v>10</v>
      </c>
      <c r="D2" s="1">
        <v>4</v>
      </c>
      <c r="E2" s="2">
        <v>2500</v>
      </c>
      <c r="F2" s="2">
        <v>150000</v>
      </c>
      <c r="G2" s="2">
        <v>600000</v>
      </c>
    </row>
    <row r="3" spans="1:7" ht="42" thickBot="1" x14ac:dyDescent="0.35">
      <c r="A3" s="3" t="s">
        <v>40</v>
      </c>
      <c r="B3" s="1" t="s">
        <v>39</v>
      </c>
      <c r="C3" s="1" t="s">
        <v>13</v>
      </c>
      <c r="D3" s="1">
        <v>4</v>
      </c>
      <c r="E3" s="2">
        <v>3995</v>
      </c>
      <c r="F3" s="2">
        <v>239700</v>
      </c>
      <c r="G3" s="2">
        <f>D3*F3</f>
        <v>958800</v>
      </c>
    </row>
    <row r="4" spans="1:7" ht="42" thickBot="1" x14ac:dyDescent="0.35">
      <c r="A4" s="3" t="s">
        <v>41</v>
      </c>
      <c r="B4" s="1" t="s">
        <v>39</v>
      </c>
      <c r="C4" s="1" t="s">
        <v>17</v>
      </c>
      <c r="D4" s="1">
        <v>5</v>
      </c>
      <c r="E4" s="2">
        <v>868</v>
      </c>
      <c r="F4" s="2">
        <v>52080</v>
      </c>
      <c r="G4" s="2">
        <f>D4*F4</f>
        <v>260400</v>
      </c>
    </row>
    <row r="5" spans="1:7" ht="28.2" thickBot="1" x14ac:dyDescent="0.35">
      <c r="A5" s="3" t="s">
        <v>34</v>
      </c>
      <c r="B5" s="1" t="s">
        <v>21</v>
      </c>
      <c r="C5" s="1" t="s">
        <v>42</v>
      </c>
      <c r="D5" s="1">
        <v>4</v>
      </c>
      <c r="E5" s="2">
        <v>500</v>
      </c>
      <c r="F5" s="2">
        <v>30000</v>
      </c>
      <c r="G5" s="2">
        <v>120000</v>
      </c>
    </row>
    <row r="6" spans="1:7" ht="15" thickBot="1" x14ac:dyDescent="0.35">
      <c r="A6" s="15" t="s">
        <v>36</v>
      </c>
      <c r="B6" s="1"/>
      <c r="C6" s="1"/>
      <c r="D6" s="1"/>
      <c r="E6" s="1"/>
      <c r="F6" s="1"/>
      <c r="G6" s="13">
        <f>SUM(G2:G5)</f>
        <v>1939200</v>
      </c>
    </row>
    <row r="8" spans="1:7" ht="15" thickBot="1" x14ac:dyDescent="0.35"/>
    <row r="9" spans="1:7" ht="42" thickBot="1" x14ac:dyDescent="0.35">
      <c r="A9" s="15" t="s">
        <v>0</v>
      </c>
      <c r="B9" s="15" t="s">
        <v>1</v>
      </c>
      <c r="C9" s="15" t="s">
        <v>3</v>
      </c>
      <c r="D9" s="15" t="s">
        <v>4</v>
      </c>
      <c r="E9" s="15" t="s">
        <v>37</v>
      </c>
      <c r="F9" s="15" t="s">
        <v>50</v>
      </c>
    </row>
    <row r="10" spans="1:7" ht="28.2" thickBot="1" x14ac:dyDescent="0.35">
      <c r="A10" s="1" t="s">
        <v>52</v>
      </c>
      <c r="B10" s="1" t="s">
        <v>53</v>
      </c>
      <c r="C10" s="1" t="s">
        <v>10</v>
      </c>
      <c r="D10" s="1">
        <v>4</v>
      </c>
      <c r="E10" s="4">
        <v>2500</v>
      </c>
      <c r="F10" s="4">
        <v>10000</v>
      </c>
    </row>
    <row r="11" spans="1:7" ht="28.2" thickBot="1" x14ac:dyDescent="0.35">
      <c r="A11" s="1" t="s">
        <v>54</v>
      </c>
      <c r="B11" s="1" t="s">
        <v>53</v>
      </c>
      <c r="C11" s="1" t="s">
        <v>13</v>
      </c>
      <c r="D11" s="1">
        <v>4</v>
      </c>
      <c r="E11" s="4">
        <v>3995</v>
      </c>
      <c r="F11" s="4">
        <f>D11*E11</f>
        <v>15980</v>
      </c>
    </row>
    <row r="12" spans="1:7" ht="28.2" thickBot="1" x14ac:dyDescent="0.35">
      <c r="A12" s="1" t="s">
        <v>55</v>
      </c>
      <c r="B12" s="1" t="s">
        <v>53</v>
      </c>
      <c r="C12" s="1" t="s">
        <v>17</v>
      </c>
      <c r="D12" s="1">
        <v>5</v>
      </c>
      <c r="E12" s="4">
        <v>868</v>
      </c>
      <c r="F12" s="4">
        <v>4340</v>
      </c>
    </row>
    <row r="13" spans="1:7" ht="28.2" thickBot="1" x14ac:dyDescent="0.35">
      <c r="A13" s="1" t="s">
        <v>42</v>
      </c>
      <c r="B13" s="1" t="s">
        <v>21</v>
      </c>
      <c r="C13" s="1" t="s">
        <v>56</v>
      </c>
      <c r="D13" s="1">
        <v>4</v>
      </c>
      <c r="E13" s="4">
        <v>500</v>
      </c>
      <c r="F13" s="4">
        <v>2000</v>
      </c>
    </row>
    <row r="14" spans="1:7" ht="15" thickBot="1" x14ac:dyDescent="0.35">
      <c r="A14" s="15" t="s">
        <v>36</v>
      </c>
      <c r="B14" s="1"/>
      <c r="C14" s="1"/>
      <c r="D14" s="1"/>
      <c r="E14" s="1"/>
      <c r="F14" s="5">
        <f>SUM(F10:F13)</f>
        <v>32320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Cotización</vt:lpstr>
      <vt:lpstr>Presupuesto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Franchesca Soto Abreu</dc:creator>
  <cp:lastModifiedBy>Franchesca Soto Abreu</cp:lastModifiedBy>
  <dcterms:created xsi:type="dcterms:W3CDTF">2026-08-13T19:49:26Z</dcterms:created>
  <dcterms:modified xsi:type="dcterms:W3CDTF">2026-08-14T19:16:16Z</dcterms:modified>
</cp:coreProperties>
</file>